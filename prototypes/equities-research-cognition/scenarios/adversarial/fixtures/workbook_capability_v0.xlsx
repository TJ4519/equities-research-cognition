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3"/>
    <sheet name="Valuation" sheetId="2" state="visible" r:id="rId4"/>
  </sheets>
  <definedNames>
    <definedName function="false" hidden="false" name="FY25_REVENUE_USDM" vbProcedure="false">Model!$B$5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<sst xmlns="http://schemas.openxmlformats.org/spreadsheetml/2006/main" count="5" uniqueCount="5">
  <si>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FY2024 revenue</t>
  </si>
  <si>
    <t xml:space="preserve">FY2025 revenue</t>
  </si>
  <si>
    <t xml:space="preserve">FY2025 revenue growth</t>
  </si>
  <si>
    <t xml:space="preserve">Enterprise value assumption</t>
  </si>
  <si>
    <t xml:space="preserve">EV / FY2025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</si>
</sst>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\x"/>
  </numFmts>
  <fonts count="5">
    <font>
      <sz val="1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73F35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0E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AA9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9A3"/>
      <rgbColor rgb="FF003366"/>
      <rgbColor rgb="FF339966"/>
      <rgbColor rgb="FF003300"/>
      <rgbColor rgb="FF333300"/>
      <rgbColor rgb="FF993300"/>
      <rgbColor rgb="FF993366"/>
      <rgbColor rgb="FF333399"/>
      <rgbColor rgb="FF173F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4" customFormat="false" ht="15" hidden="false" customHeight="false" outlineLevel="0" collapsed="false">
      <c r="A4" s="1" t="s">
        <v>0</v>
      </c>
      <c r="B4" s="2" t="n">
        <v>25111</v>
      </c>
    </row>
    <row r="5" customFormat="false" ht="15" hidden="false" customHeight="false" outlineLevel="0" collapsed="false">
      <c r="A5" s="1" t="s">
        <v>1</v>
      </c>
      <c r="B5" s="2" t="n">
        <v>36900</v>
      </c>
    </row>
    <row r="6" customFormat="false" ht="15" hidden="false" customHeight="false" outlineLevel="0" collapsed="false">
      <c r="A6" s="1" t="s">
        <v>2</v>
      </c>
      <c r="B6" s="3" t="n">
        <f aca="false">B5/B4-1</f>
        <v>0.469475528652782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4" customFormat="false" ht="15" hidden="false" customHeight="false" outlineLevel="0" collapsed="false">
      <c r="A4" s="1" t="s">
        <v>3</v>
      </c>
      <c r="B4" s="2" t="n">
        <v>120000</v>
      </c>
    </row>
    <row r="5" customFormat="false" ht="15" hidden="false" customHeight="false" outlineLevel="0" collapsed="false">
      <c r="A5" s="1" t="s">
        <v>4</v>
      </c>
      <c r="B5" s="4" t="n">
        <f aca="false">B4/Model!B5</f>
        <v>3.2520325203252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